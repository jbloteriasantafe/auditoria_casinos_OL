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iel.lopez\Documents\"/>
    </mc:Choice>
  </mc:AlternateContent>
  <bookViews>
    <workbookView xWindow="0" yWindow="0" windowWidth="28800" windowHeight="12885"/>
  </bookViews>
  <sheets>
    <sheet name="SANTA F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<sst xmlns="http://schemas.openxmlformats.org/spreadsheetml/2006/main" count="8" uniqueCount="8">
  <si>
    <t>FECHA</t>
  </si>
  <si>
    <t>JUGADORES ACTIVOS</t>
  </si>
  <si>
    <t>APUESTAS REALIZADAS</t>
  </si>
  <si>
    <t>TURNOVER DIARIO</t>
  </si>
  <si>
    <t>TURNOVER EN BONOS</t>
  </si>
  <si>
    <t>PAYOUT DIARIO</t>
  </si>
  <si>
    <t>PAYOUT EN BONOS</t>
  </si>
  <si>
    <t>GGR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</si>
</sst>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9">
    <xf numFmtId="0" fontId="0" fillId="0" borderId="0" xfId="0"/>
    <xf numFmtId="0" fontId="2" fillId="2" borderId="1" xfId="2" applyFont="1" applyBorder="1" applyAlignment="1">
      <alignment horizontal="center" vertical="center" wrapText="1"/>
    </xf>
    <xf numFmtId="0" fontId="2" fillId="2" borderId="2" xfId="2" applyFont="1" applyBorder="1" applyAlignment="1">
      <alignment horizontal="center" vertical="center" wrapText="1"/>
    </xf>
    <xf numFmtId="0" fontId="2" fillId="2" borderId="3" xfId="2" applyFont="1" applyBorder="1" applyAlignment="1">
      <alignment horizontal="center" vertical="center" wrapText="1"/>
    </xf>
    <xf numFmtId="0" fontId="2" fillId="2" borderId="4" xfId="2" applyFont="1" applyBorder="1" applyAlignment="1">
      <alignment horizontal="center" vertical="center" wrapText="1"/>
    </xf>
    <xf numFmtId="0" fontId="2" fillId="2" borderId="5" xfId="2" applyFont="1" applyBorder="1" applyAlignment="1">
      <alignment horizontal="center" vertical="center" wrapText="1"/>
    </xf>
    <xf numFmtId="16" fontId="0" fillId="0" borderId="0" xfId="0" applyNumberFormat="1"/>
    <xf numFmtId="3" fontId="4" fillId="0" borderId="6" xfId="0" applyNumberFormat="1" applyFont="1" applyBorder="1"/>
    <xf numFmtId="43" fontId="0" fillId="0" borderId="0" xfId="1" applyFont="1" applyFill="1" applyBorder="1"/>
  </cellXfs>
  <cellStyles count="3">
    <cellStyle name="Énfasis5" xfId="2" builtinId="45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sqref="A1:XFD1048576"/>
    </sheetView>
  </sheetViews>
  <sheetFormatPr baseColWidth="10" defaultColWidth="18" defaultRowHeight="15" x14ac:dyDescent="0.25"/>
  <sheetData>
    <row r="1" spans="1:8" ht="45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</row>
    <row r="2" spans="1:8" x14ac:dyDescent="0.25">
      <c r="A2" s="6">
        <v>46180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</row>
    <row r="3" spans="1:8" x14ac:dyDescent="0.25">
      <c r="A3" s="6">
        <v>46181</v>
      </c>
      <c r="B3" s="7">
        <v>2</v>
      </c>
      <c r="C3" s="7">
        <v>2</v>
      </c>
      <c r="D3" s="8">
        <v>500</v>
      </c>
      <c r="E3" s="8">
        <v>0</v>
      </c>
      <c r="F3" s="8">
        <v>0</v>
      </c>
      <c r="G3" s="8">
        <v>0</v>
      </c>
      <c r="H3" s="8">
        <f>+D3-F3</f>
        <v>500</v>
      </c>
    </row>
    <row r="4" spans="1:8" x14ac:dyDescent="0.25">
      <c r="A4" s="6">
        <v>46182</v>
      </c>
      <c r="B4" s="7">
        <v>4</v>
      </c>
      <c r="C4" s="7">
        <v>1</v>
      </c>
      <c r="D4" s="8">
        <v>30700</v>
      </c>
      <c r="E4" s="8">
        <v>0</v>
      </c>
      <c r="F4" s="8">
        <v>23900</v>
      </c>
      <c r="G4" s="8">
        <v>0</v>
      </c>
      <c r="H4" s="8">
        <f t="shared" ref="H4:H24" si="0">+D4-F4</f>
        <v>6800</v>
      </c>
    </row>
    <row r="5" spans="1:8" x14ac:dyDescent="0.25">
      <c r="A5" s="6">
        <v>46183</v>
      </c>
      <c r="B5" s="7">
        <v>5</v>
      </c>
      <c r="C5" s="7">
        <v>24</v>
      </c>
      <c r="D5" s="8">
        <v>1950</v>
      </c>
      <c r="E5" s="8">
        <v>600</v>
      </c>
      <c r="F5" s="8">
        <v>1785</v>
      </c>
      <c r="G5" s="8">
        <v>600</v>
      </c>
      <c r="H5" s="8">
        <f t="shared" si="0"/>
        <v>165</v>
      </c>
    </row>
    <row r="6" spans="1:8" x14ac:dyDescent="0.25">
      <c r="A6" s="6">
        <v>46184</v>
      </c>
      <c r="B6" s="7">
        <v>12</v>
      </c>
      <c r="C6" s="7">
        <v>70</v>
      </c>
      <c r="D6" s="8">
        <v>148403</v>
      </c>
      <c r="E6" s="8">
        <v>198073</v>
      </c>
      <c r="F6" s="8">
        <v>4918</v>
      </c>
      <c r="G6" s="8">
        <v>193298</v>
      </c>
      <c r="H6" s="8">
        <f t="shared" si="0"/>
        <v>143485</v>
      </c>
    </row>
    <row r="7" spans="1:8" x14ac:dyDescent="0.25">
      <c r="A7" s="6">
        <v>46185</v>
      </c>
      <c r="B7" s="7">
        <v>17</v>
      </c>
      <c r="C7" s="7">
        <v>56</v>
      </c>
      <c r="D7" s="8">
        <v>369780</v>
      </c>
      <c r="E7" s="8">
        <v>391780</v>
      </c>
      <c r="F7" s="8">
        <v>421804.51</v>
      </c>
      <c r="G7" s="8">
        <v>-21184.039999999979</v>
      </c>
      <c r="H7" s="8">
        <f t="shared" si="0"/>
        <v>-52024.510000000009</v>
      </c>
    </row>
    <row r="8" spans="1:8" x14ac:dyDescent="0.25">
      <c r="A8" s="6">
        <v>46186</v>
      </c>
      <c r="B8" s="7">
        <v>10</v>
      </c>
      <c r="C8" s="7">
        <v>38</v>
      </c>
      <c r="D8" s="8">
        <v>218822</v>
      </c>
      <c r="E8" s="8">
        <v>208822</v>
      </c>
      <c r="F8" s="8">
        <v>75260</v>
      </c>
      <c r="G8" s="8">
        <v>133562</v>
      </c>
      <c r="H8" s="8">
        <f t="shared" si="0"/>
        <v>143562</v>
      </c>
    </row>
    <row r="9" spans="1:8" x14ac:dyDescent="0.25">
      <c r="A9" s="6">
        <v>46187</v>
      </c>
      <c r="B9" s="7">
        <v>13</v>
      </c>
      <c r="C9" s="7">
        <v>76</v>
      </c>
      <c r="D9" s="8">
        <v>177434</v>
      </c>
      <c r="E9" s="8">
        <v>174534</v>
      </c>
      <c r="F9" s="8">
        <v>142766.70000000001</v>
      </c>
      <c r="G9" s="8">
        <v>31767.299999999988</v>
      </c>
      <c r="H9" s="8">
        <f t="shared" si="0"/>
        <v>34667.299999999988</v>
      </c>
    </row>
    <row r="10" spans="1:8" x14ac:dyDescent="0.25">
      <c r="A10" s="6">
        <v>46188</v>
      </c>
      <c r="B10" s="7">
        <v>17</v>
      </c>
      <c r="C10" s="7">
        <v>71</v>
      </c>
      <c r="D10" s="8">
        <v>356319</v>
      </c>
      <c r="E10" s="8">
        <v>447714</v>
      </c>
      <c r="F10" s="8">
        <v>145150.45000000001</v>
      </c>
      <c r="G10" s="8">
        <v>302563.55</v>
      </c>
      <c r="H10" s="8">
        <f t="shared" si="0"/>
        <v>211168.55</v>
      </c>
    </row>
    <row r="11" spans="1:8" x14ac:dyDescent="0.25">
      <c r="A11" s="6">
        <v>46189</v>
      </c>
      <c r="B11" s="7">
        <v>25</v>
      </c>
      <c r="C11" s="7">
        <v>90</v>
      </c>
      <c r="D11" s="8">
        <v>328280</v>
      </c>
      <c r="E11" s="8">
        <v>313431</v>
      </c>
      <c r="F11" s="8">
        <v>216144.6</v>
      </c>
      <c r="G11" s="8">
        <v>135421.41</v>
      </c>
      <c r="H11" s="8">
        <f t="shared" si="0"/>
        <v>112135.4</v>
      </c>
    </row>
    <row r="12" spans="1:8" x14ac:dyDescent="0.25">
      <c r="A12" s="6">
        <v>46190</v>
      </c>
      <c r="B12" s="7">
        <v>36</v>
      </c>
      <c r="C12" s="7">
        <v>163</v>
      </c>
      <c r="D12" s="8">
        <v>674140.26</v>
      </c>
      <c r="E12" s="8">
        <v>644097.76</v>
      </c>
      <c r="F12" s="8">
        <v>398368.58</v>
      </c>
      <c r="G12" s="8">
        <v>234640.32</v>
      </c>
      <c r="H12" s="8">
        <f t="shared" si="0"/>
        <v>275771.68</v>
      </c>
    </row>
    <row r="13" spans="1:8" x14ac:dyDescent="0.25">
      <c r="A13" s="6">
        <v>46191</v>
      </c>
      <c r="B13" s="7">
        <v>141</v>
      </c>
      <c r="C13" s="7">
        <v>442</v>
      </c>
      <c r="D13" s="8">
        <v>3302135.97</v>
      </c>
      <c r="E13" s="8">
        <v>3352494.6799999997</v>
      </c>
      <c r="F13" s="8">
        <v>1711353.09</v>
      </c>
      <c r="G13" s="8">
        <v>1689722.9299999997</v>
      </c>
      <c r="H13" s="8">
        <f t="shared" si="0"/>
        <v>1590782.8800000001</v>
      </c>
    </row>
    <row r="14" spans="1:8" x14ac:dyDescent="0.25">
      <c r="A14" s="6">
        <v>46192</v>
      </c>
      <c r="B14" s="7">
        <v>151</v>
      </c>
      <c r="C14" s="7">
        <v>385</v>
      </c>
      <c r="D14" s="8">
        <v>3754661.21</v>
      </c>
      <c r="E14" s="8">
        <v>3371395.9</v>
      </c>
      <c r="F14" s="8">
        <v>2573458.89</v>
      </c>
      <c r="G14" s="8">
        <v>820840.96999999974</v>
      </c>
      <c r="H14" s="8">
        <f t="shared" si="0"/>
        <v>1181202.3199999998</v>
      </c>
    </row>
    <row r="15" spans="1:8" x14ac:dyDescent="0.25">
      <c r="A15" s="6">
        <v>46193</v>
      </c>
      <c r="B15" s="7">
        <v>135</v>
      </c>
      <c r="C15" s="7">
        <v>523</v>
      </c>
      <c r="D15" s="8">
        <v>4332309.46</v>
      </c>
      <c r="E15" s="8">
        <v>3787149</v>
      </c>
      <c r="F15" s="8">
        <v>4386648.9799999995</v>
      </c>
      <c r="G15" s="8">
        <v>273460.69000000041</v>
      </c>
      <c r="H15" s="8">
        <f t="shared" si="0"/>
        <v>-54339.519999999553</v>
      </c>
    </row>
    <row r="16" spans="1:8" x14ac:dyDescent="0.25">
      <c r="A16" s="6">
        <v>46194</v>
      </c>
      <c r="B16" s="7">
        <v>109</v>
      </c>
      <c r="C16" s="7">
        <v>490</v>
      </c>
      <c r="D16" s="8">
        <v>3938728.51</v>
      </c>
      <c r="E16" s="8">
        <v>3340875.09</v>
      </c>
      <c r="F16" s="8">
        <v>2454850.1100000003</v>
      </c>
      <c r="G16" s="8">
        <v>1675259.0499999998</v>
      </c>
      <c r="H16" s="8">
        <f t="shared" si="0"/>
        <v>1483878.3999999994</v>
      </c>
    </row>
    <row r="17" spans="1:8" x14ac:dyDescent="0.25">
      <c r="A17" s="6">
        <v>46195</v>
      </c>
      <c r="B17" s="7">
        <v>127</v>
      </c>
      <c r="C17" s="7">
        <v>425</v>
      </c>
      <c r="D17" s="8">
        <v>4860735.08</v>
      </c>
      <c r="E17" s="8">
        <v>3383495.13</v>
      </c>
      <c r="F17" s="8">
        <v>7100422.7800000003</v>
      </c>
      <c r="G17" s="8">
        <v>-1877189.5099999998</v>
      </c>
      <c r="H17" s="8">
        <f t="shared" si="0"/>
        <v>-2239687.7000000002</v>
      </c>
    </row>
    <row r="18" spans="1:8" x14ac:dyDescent="0.25">
      <c r="A18" s="6">
        <v>46196</v>
      </c>
      <c r="B18" s="7">
        <v>136</v>
      </c>
      <c r="C18" s="7">
        <v>501</v>
      </c>
      <c r="D18" s="8">
        <v>5067225.47</v>
      </c>
      <c r="E18" s="8">
        <v>3797315.34</v>
      </c>
      <c r="F18" s="8">
        <v>4061268.93</v>
      </c>
      <c r="G18" s="8">
        <v>1573104.7199999997</v>
      </c>
      <c r="H18" s="8">
        <f t="shared" si="0"/>
        <v>1005956.5399999996</v>
      </c>
    </row>
    <row r="19" spans="1:8" x14ac:dyDescent="0.25">
      <c r="A19" s="6">
        <v>46197</v>
      </c>
      <c r="B19" s="7">
        <v>145</v>
      </c>
      <c r="C19" s="7">
        <v>688</v>
      </c>
      <c r="D19" s="8">
        <v>4278201.92</v>
      </c>
      <c r="E19" s="8">
        <v>3586155.98</v>
      </c>
      <c r="F19" s="8">
        <v>4991856.57</v>
      </c>
      <c r="G19" s="8">
        <v>329856.25</v>
      </c>
      <c r="H19" s="8">
        <f t="shared" si="0"/>
        <v>-713654.65000000037</v>
      </c>
    </row>
    <row r="20" spans="1:8" x14ac:dyDescent="0.25">
      <c r="A20" s="6">
        <v>46198</v>
      </c>
      <c r="B20" s="7">
        <v>170</v>
      </c>
      <c r="C20" s="7">
        <v>490</v>
      </c>
      <c r="D20" s="8">
        <v>3660396.39</v>
      </c>
      <c r="E20" s="8">
        <v>2932707.56</v>
      </c>
      <c r="F20" s="8">
        <v>1699032.48</v>
      </c>
      <c r="G20" s="8">
        <v>1527424.4100000001</v>
      </c>
      <c r="H20" s="8">
        <f t="shared" si="0"/>
        <v>1961363.9100000001</v>
      </c>
    </row>
    <row r="21" spans="1:8" x14ac:dyDescent="0.25">
      <c r="A21" s="6">
        <v>46199</v>
      </c>
      <c r="B21" s="7">
        <v>136</v>
      </c>
      <c r="C21" s="7">
        <v>685</v>
      </c>
      <c r="D21" s="8">
        <v>3300250.7</v>
      </c>
      <c r="E21" s="8">
        <v>2620831.23</v>
      </c>
      <c r="F21" s="8">
        <v>2267240.2000000002</v>
      </c>
      <c r="G21" s="8">
        <v>676344.04000000027</v>
      </c>
      <c r="H21" s="8">
        <f t="shared" si="0"/>
        <v>1033010.5</v>
      </c>
    </row>
    <row r="22" spans="1:8" x14ac:dyDescent="0.25">
      <c r="A22" s="6">
        <v>46200</v>
      </c>
      <c r="B22" s="7">
        <v>123</v>
      </c>
      <c r="C22" s="7">
        <v>398</v>
      </c>
      <c r="D22" s="8">
        <v>2421935.73</v>
      </c>
      <c r="E22" s="8">
        <v>1586452.56</v>
      </c>
      <c r="F22" s="8">
        <v>2138796.29</v>
      </c>
      <c r="G22" s="8">
        <v>-126448.59000000008</v>
      </c>
      <c r="H22" s="8">
        <f t="shared" si="0"/>
        <v>283139.43999999994</v>
      </c>
    </row>
    <row r="23" spans="1:8" x14ac:dyDescent="0.25">
      <c r="A23" s="6">
        <v>46201</v>
      </c>
      <c r="B23" s="7">
        <v>78</v>
      </c>
      <c r="C23" s="7">
        <v>249</v>
      </c>
      <c r="D23" s="8">
        <v>1400578.92</v>
      </c>
      <c r="E23" s="8">
        <v>1082827.57</v>
      </c>
      <c r="F23" s="8">
        <v>956509.28</v>
      </c>
      <c r="G23" s="8">
        <v>391015.3600000001</v>
      </c>
      <c r="H23" s="8">
        <f t="shared" si="0"/>
        <v>444069.6399999999</v>
      </c>
    </row>
    <row r="24" spans="1:8" x14ac:dyDescent="0.25">
      <c r="A24" s="6">
        <v>46202</v>
      </c>
      <c r="B24" s="7">
        <v>109</v>
      </c>
      <c r="C24" s="7">
        <v>340</v>
      </c>
      <c r="D24" s="8">
        <v>2788370</v>
      </c>
      <c r="E24" s="8">
        <v>1910803.39</v>
      </c>
      <c r="F24" s="8">
        <v>1871918.88</v>
      </c>
      <c r="G24" s="8">
        <v>836279.5</v>
      </c>
      <c r="H24" s="8">
        <f t="shared" si="0"/>
        <v>916451.12000000011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SANTA 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Daniel Lopez</dc:creator>
  <cp:lastModifiedBy>Nestor Daniel Lopez</cp:lastModifiedBy>
  <dcterms:created xsi:type="dcterms:W3CDTF">2026-06-30T11:57:34Z</dcterms:created>
  <dcterms:modified xsi:type="dcterms:W3CDTF">2026-06-30T11:58:16Z</dcterms:modified>
</cp:coreProperties>
</file>